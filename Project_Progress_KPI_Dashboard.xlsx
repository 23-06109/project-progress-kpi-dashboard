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immy\Desktop\Project_Progress_KPI_Dashboard\data\"/>
    </mc:Choice>
  </mc:AlternateContent>
  <xr:revisionPtr revIDLastSave="0" documentId="13_ncr:1_{2F72EE7D-51D0-43DD-B269-8ACFC15BA034}" xr6:coauthVersionLast="47" xr6:coauthVersionMax="47" xr10:uidLastSave="{00000000-0000-0000-0000-000000000000}"/>
  <bookViews>
    <workbookView xWindow="-120" yWindow="-120" windowWidth="20730" windowHeight="11760" firstSheet="1" activeTab="5" xr2:uid="{DA255EEF-871F-478D-AF94-F5952DEF251D}"/>
  </bookViews>
  <sheets>
    <sheet name="Pivot_Analysis" sheetId="4" r:id="rId1"/>
    <sheet name="Pivot_Status" sheetId="5" r:id="rId2"/>
    <sheet name="qry_ProjectProgress_Clean" sheetId="2" r:id="rId3"/>
    <sheet name="Dashboard" sheetId="3" r:id="rId4"/>
    <sheet name="Raw_Data" sheetId="1" r:id="rId5"/>
    <sheet name="Project_Summary" sheetId="6" r:id="rId6"/>
  </sheets>
  <definedNames>
    <definedName name="ExternalData_1" localSheetId="2" hidden="1">qry_ProjectProgress_Clean!$A$1:$O$21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3" l="1"/>
  <c r="M3" i="3"/>
  <c r="K3" i="3"/>
  <c r="I3" i="3"/>
  <c r="G3" i="3"/>
  <c r="E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61B42F-2769-4FB6-95D9-ECC1AD732EBC}" keepAlive="1" name="Query - qry_ProjectProgress_Clean" description="Connection to the 'qry_ProjectProgress_Clean' query in the workbook." type="5" refreshedVersion="8" background="1" saveData="1">
    <dbPr connection="Provider=Microsoft.Mashup.OleDb.1;Data Source=$Workbook$;Location=qry_ProjectProgress_Clean;Extended Properties=&quot;&quot;" command="SELECT * FROM [qry_ProjectProgress_Clean]"/>
  </connection>
</connections>
</file>

<file path=xl/sharedStrings.xml><?xml version="1.0" encoding="utf-8"?>
<sst xmlns="http://schemas.openxmlformats.org/spreadsheetml/2006/main" count="305" uniqueCount="108">
  <si>
    <t>Activity</t>
  </si>
  <si>
    <t>Discipline</t>
  </si>
  <si>
    <t>Planned Start</t>
  </si>
  <si>
    <t>Planned Finish</t>
  </si>
  <si>
    <t>Actual Start</t>
  </si>
  <si>
    <t>Actual Finish</t>
  </si>
  <si>
    <t>Planned %</t>
  </si>
  <si>
    <t>Actual %</t>
  </si>
  <si>
    <t>Status</t>
  </si>
  <si>
    <t>A001</t>
  </si>
  <si>
    <t>Foundation Excavation</t>
  </si>
  <si>
    <t>Civil</t>
  </si>
  <si>
    <t>Civil Team</t>
  </si>
  <si>
    <t>Completed</t>
  </si>
  <si>
    <t>A002</t>
  </si>
  <si>
    <t>Foundation Concrete</t>
  </si>
  <si>
    <t>Delayed</t>
  </si>
  <si>
    <t>A003</t>
  </si>
  <si>
    <t>Structural Steel Installation</t>
  </si>
  <si>
    <t>Structural</t>
  </si>
  <si>
    <t>Steel Team</t>
  </si>
  <si>
    <t>In Progress</t>
  </si>
  <si>
    <t>A004</t>
  </si>
  <si>
    <t>Equipment Installation</t>
  </si>
  <si>
    <t>Mechanical</t>
  </si>
  <si>
    <t>Mechanical Team</t>
  </si>
  <si>
    <t>A005</t>
  </si>
  <si>
    <t>Piping Installation</t>
  </si>
  <si>
    <t>Piping Team</t>
  </si>
  <si>
    <t>A006</t>
  </si>
  <si>
    <t>Cable Tray Installation</t>
  </si>
  <si>
    <t>Electrical</t>
  </si>
  <si>
    <t>Electrical Team</t>
  </si>
  <si>
    <t>Not Started</t>
  </si>
  <si>
    <t>A007</t>
  </si>
  <si>
    <t>Electrical Cable Pulling</t>
  </si>
  <si>
    <t>A008</t>
  </si>
  <si>
    <t>HVAC Installation</t>
  </si>
  <si>
    <t>HVAC Team</t>
  </si>
  <si>
    <t>A009</t>
  </si>
  <si>
    <t>Fire Protection Piping</t>
  </si>
  <si>
    <t>Fire Team</t>
  </si>
  <si>
    <t>A010</t>
  </si>
  <si>
    <t>Equipment Testing</t>
  </si>
  <si>
    <t>QA/QC</t>
  </si>
  <si>
    <t>QA Team</t>
  </si>
  <si>
    <t>A011</t>
  </si>
  <si>
    <t>Welding Inspection</t>
  </si>
  <si>
    <t>A012</t>
  </si>
  <si>
    <t>Material Inspection</t>
  </si>
  <si>
    <t>A013</t>
  </si>
  <si>
    <t>Painting Works</t>
  </si>
  <si>
    <t>Coating</t>
  </si>
  <si>
    <t>Painting Team</t>
  </si>
  <si>
    <t>A014</t>
  </si>
  <si>
    <t>Insulation Works</t>
  </si>
  <si>
    <t>Insulation Team</t>
  </si>
  <si>
    <t>A015</t>
  </si>
  <si>
    <t>Structural Inspection</t>
  </si>
  <si>
    <t>A016</t>
  </si>
  <si>
    <t>Road Preparation</t>
  </si>
  <si>
    <t>A017</t>
  </si>
  <si>
    <t>Drainage Installation</t>
  </si>
  <si>
    <t>A018</t>
  </si>
  <si>
    <t>Instrument Installation</t>
  </si>
  <si>
    <t>Instrumentation</t>
  </si>
  <si>
    <t>Instrument Team</t>
  </si>
  <si>
    <t>A019</t>
  </si>
  <si>
    <t>Instrument Testing</t>
  </si>
  <si>
    <t>A020</t>
  </si>
  <si>
    <t>Final Documentation</t>
  </si>
  <si>
    <t>Document Control</t>
  </si>
  <si>
    <t>Document Team</t>
  </si>
  <si>
    <t>Activity_ID</t>
  </si>
  <si>
    <t>Responsible_Team</t>
  </si>
  <si>
    <t>Delay_Days</t>
  </si>
  <si>
    <t>Progress_Variance</t>
  </si>
  <si>
    <t>Performance_Status</t>
  </si>
  <si>
    <t>Schedule_Status</t>
  </si>
  <si>
    <t>On Track</t>
  </si>
  <si>
    <t>On Schedule</t>
  </si>
  <si>
    <t>Slightly Behind</t>
  </si>
  <si>
    <t>Significantly Behind</t>
  </si>
  <si>
    <t>Not Completed</t>
  </si>
  <si>
    <t>Total Activities</t>
  </si>
  <si>
    <t>Completed Activities</t>
  </si>
  <si>
    <t>Avg. Actual Progress</t>
  </si>
  <si>
    <t>Row Labels</t>
  </si>
  <si>
    <t>Grand Total</t>
  </si>
  <si>
    <t>Average of Planned %</t>
  </si>
  <si>
    <t>Average of Actual %</t>
  </si>
  <si>
    <t>Count of Activity_ID</t>
  </si>
  <si>
    <t>Completed Late</t>
  </si>
  <si>
    <t>Project Progress KPI Dashboard</t>
  </si>
  <si>
    <t>Avg. Progress Variance</t>
  </si>
  <si>
    <t>Project Progress KPI Dashboard — Project Summary</t>
  </si>
  <si>
    <t>Business Problem</t>
  </si>
  <si>
    <t>Project teams need a clear view of progress, schedule performance, and activities requiring attention.</t>
  </si>
  <si>
    <t>Objective</t>
  </si>
  <si>
    <t>Build an Excel dashboard that compares planned versus actual progress and highlights project status and delays.</t>
  </si>
  <si>
    <t>Data Source</t>
  </si>
  <si>
    <t>Project activity tracker with 20 activities, disciplines, dates, planned/actual progress, and status.</t>
  </si>
  <si>
    <t>Tools Used</t>
  </si>
  <si>
    <t>Excel, Power Query, PivotTables, PivotCharts, and formulas.</t>
  </si>
  <si>
    <t>Key Finding</t>
  </si>
  <si>
    <t>Actual progress is 38.25% versus 52.5% planned progress: a 14.25 percentage-point shortfall.</t>
  </si>
  <si>
    <t>Business Impact</t>
  </si>
  <si>
    <t>Helps managers identify delayed work, monitor progress by discipline, and focus recovery actions on problem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</si>
</sst>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30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numFmt numFmtId="20" formatCode="d\-mmm\-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[Project_Progress_KPI_Dashboard.xlsx]Pivot_Analysis!PivotTable1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 vs Actual Progress by Discipline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Average of Planned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Pivot_Analysis!$A$4:$A$12</c:f>
              <c:strCache>
                <c:ptCount val="8"/>
                <c:pt idx="0">
                  <c:v>Civil</c:v>
                </c:pt>
                <c:pt idx="1">
                  <c:v>Coating</c:v>
                </c:pt>
                <c:pt idx="2">
                  <c:v>Document Control</c:v>
                </c:pt>
                <c:pt idx="3">
                  <c:v>Electrical</c:v>
                </c:pt>
                <c:pt idx="4">
                  <c:v>Instrumentation</c:v>
                </c:pt>
                <c:pt idx="5">
                  <c:v>Mechanical</c:v>
                </c:pt>
                <c:pt idx="6">
                  <c:v>QA/QC</c:v>
                </c:pt>
                <c:pt idx="7">
                  <c:v>Structural</c:v>
                </c:pt>
              </c:strCache>
            </c:strRef>
          </c:cat>
          <c:val>
            <c:numRef>
              <c:f>Pivot_Analysis!$B$4:$B$12</c:f>
              <c:numCache>
                <c:formatCode>General</c:formatCode>
                <c:ptCount val="8"/>
                <c:pt idx="0">
                  <c:v>96.25</c:v>
                </c:pt>
                <c:pt idx="1">
                  <c:v>40</c:v>
                </c:pt>
                <c:pt idx="2">
                  <c:v>0</c:v>
                </c:pt>
                <c:pt idx="3">
                  <c:v>15</c:v>
                </c:pt>
                <c:pt idx="4">
                  <c:v>20</c:v>
                </c:pt>
                <c:pt idx="5">
                  <c:v>56</c:v>
                </c:pt>
                <c:pt idx="6">
                  <c:v>50</c:v>
                </c:pt>
                <c:pt idx="7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C-43BC-8878-A57E4200C2C7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Average of Actual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Pivot_Analysis!$A$4:$A$12</c:f>
              <c:strCache>
                <c:ptCount val="8"/>
                <c:pt idx="0">
                  <c:v>Civil</c:v>
                </c:pt>
                <c:pt idx="1">
                  <c:v>Coating</c:v>
                </c:pt>
                <c:pt idx="2">
                  <c:v>Document Control</c:v>
                </c:pt>
                <c:pt idx="3">
                  <c:v>Electrical</c:v>
                </c:pt>
                <c:pt idx="4">
                  <c:v>Instrumentation</c:v>
                </c:pt>
                <c:pt idx="5">
                  <c:v>Mechanical</c:v>
                </c:pt>
                <c:pt idx="6">
                  <c:v>QA/QC</c:v>
                </c:pt>
                <c:pt idx="7">
                  <c:v>Structural</c:v>
                </c:pt>
              </c:strCache>
            </c:strRef>
          </c:cat>
          <c:val>
            <c:numRef>
              <c:f>Pivot_Analysis!$C$4:$C$12</c:f>
              <c:numCache>
                <c:formatCode>General</c:formatCode>
                <c:ptCount val="8"/>
                <c:pt idx="0">
                  <c:v>81.25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39</c:v>
                </c:pt>
                <c:pt idx="6">
                  <c:v>41.25</c:v>
                </c:pt>
                <c:pt idx="7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C-43BC-8878-A57E4200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9760656"/>
        <c:axId val="1952981520"/>
      </c:barChart>
      <c:catAx>
        <c:axId val="125976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981520"/>
        <c:crosses val="autoZero"/>
        <c:auto val="1"/>
        <c:lblAlgn val="ctr"/>
        <c:lblOffset val="100"/>
        <c:noMultiLvlLbl val="0"/>
      </c:catAx>
      <c:valAx>
        <c:axId val="195298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6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[Project_Progress_KPI_Dashboard.xlsx]Pivot_Status!PivotTable4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Activity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Pivot_Status!$B$3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EE-44CB-A7E8-A526571EB7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8EE-44CB-A7E8-A526571EB7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8EE-44CB-A7E8-A526571EB7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8EE-44CB-A7E8-A526571EB707}"/>
              </c:ext>
            </c:extLst>
          </c:dPt>
          <c:cat>
            <c:strRef>
              <c:f>Pivot_Status!$A$4:$A$8</c:f>
              <c:strCache>
                <c:ptCount val="4"/>
                <c:pt idx="0">
                  <c:v>Completed</c:v>
                </c:pt>
                <c:pt idx="1">
                  <c:v>Delayed</c:v>
                </c:pt>
                <c:pt idx="2">
                  <c:v>In Progress</c:v>
                </c:pt>
                <c:pt idx="3">
                  <c:v>Not Started</c:v>
                </c:pt>
              </c:strCache>
            </c:strRef>
          </c:cat>
          <c:val>
            <c:numRef>
              <c:f>Pivot_Status!$B$4:$B$8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EE-44CB-A7E8-A526571EB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3464</xdr:colOff>
      <xdr:row>5</xdr:row>
      <xdr:rowOff>0</xdr:rowOff>
    </xdr:from>
    <xdr:to>
      <xdr:col>11</xdr:col>
      <xdr:colOff>1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0C26B-E7C0-D9DF-D944-CC3F7D4B57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5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D7033AD-CAE4-EF6F-BBFF-2EF1D720F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mmy" refreshedDate="46247.831304861109" createdVersion="8" refreshedVersion="8" minRefreshableVersion="3" recordCount="20" xr:uid="{AB9BE601-7298-44F8-97F7-0318ED2125C2}">
  <cacheSource type="worksheet">
    <worksheetSource name="qry_ProjectProgress_Clean"/>
  </cacheSource>
  <cacheFields count="15">
    <cacheField name="Activity_ID" numFmtId="0">
      <sharedItems count="20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</sharedItems>
    </cacheField>
    <cacheField name="Activity" numFmtId="0">
      <sharedItems/>
    </cacheField>
    <cacheField name="Discipline" numFmtId="0">
      <sharedItems count="8">
        <s v="Civil"/>
        <s v="Structural"/>
        <s v="Mechanical"/>
        <s v="Electrical"/>
        <s v="QA/QC"/>
        <s v="Coating"/>
        <s v="Instrumentation"/>
        <s v="Document Control"/>
      </sharedItems>
    </cacheField>
    <cacheField name="Responsible_Team" numFmtId="0">
      <sharedItems/>
    </cacheField>
    <cacheField name="Planned Start" numFmtId="14">
      <sharedItems containsSemiMixedTypes="0" containsNonDate="0" containsDate="1" containsString="0" minDate="2026-08-01T00:00:00" maxDate="2026-08-26T00:00:00"/>
    </cacheField>
    <cacheField name="Planned Finish" numFmtId="14">
      <sharedItems containsSemiMixedTypes="0" containsNonDate="0" containsDate="1" containsString="0" minDate="2026-08-05T00:00:00" maxDate="2026-09-01T00:00:00"/>
    </cacheField>
    <cacheField name="Actual Start" numFmtId="14">
      <sharedItems containsNonDate="0" containsDate="1" containsString="0" containsBlank="1" minDate="2026-08-01T00:00:00" maxDate="2026-08-15T00:00:00"/>
    </cacheField>
    <cacheField name="Actual Finish" numFmtId="14">
      <sharedItems containsNonDate="0" containsDate="1" containsString="0" containsBlank="1" minDate="2026-08-05T00:00:00" maxDate="2026-08-14T00:00:00"/>
    </cacheField>
    <cacheField name="Planned %" numFmtId="0">
      <sharedItems containsSemiMixedTypes="0" containsString="0" containsNumber="1" containsInteger="1" minValue="0" maxValue="100"/>
    </cacheField>
    <cacheField name="Actual %" numFmtId="0">
      <sharedItems containsSemiMixedTypes="0" containsString="0" containsNumber="1" containsInteger="1" minValue="0" maxValue="100"/>
    </cacheField>
    <cacheField name="Status" numFmtId="0">
      <sharedItems count="4">
        <s v="Completed"/>
        <s v="Delayed"/>
        <s v="In Progress"/>
        <s v="Not Started"/>
      </sharedItems>
    </cacheField>
    <cacheField name="Delay_Days" numFmtId="0">
      <sharedItems containsString="0" containsBlank="1" containsNumber="1" containsInteger="1" minValue="0" maxValue="1"/>
    </cacheField>
    <cacheField name="Progress_Variance" numFmtId="0">
      <sharedItems containsSemiMixedTypes="0" containsString="0" containsNumber="1" containsInteger="1" minValue="-40" maxValue="0"/>
    </cacheField>
    <cacheField name="Performance_Status" numFmtId="0">
      <sharedItems/>
    </cacheField>
    <cacheField name="Schedule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Foundation Excavation"/>
    <x v="0"/>
    <s v="Civil Team"/>
    <d v="2026-08-01T00:00:00"/>
    <d v="2026-08-05T00:00:00"/>
    <d v="2026-08-01T00:00:00"/>
    <d v="2026-08-05T00:00:00"/>
    <n v="100"/>
    <n v="100"/>
    <x v="0"/>
    <n v="0"/>
    <n v="0"/>
    <s v="On Track"/>
    <s v="On Schedule"/>
  </r>
  <r>
    <x v="1"/>
    <s v="Foundation Concrete"/>
    <x v="0"/>
    <s v="Civil Team"/>
    <d v="2026-08-04T00:00:00"/>
    <d v="2026-08-10T00:00:00"/>
    <d v="2026-08-05T00:00:00"/>
    <d v="2026-08-11T00:00:00"/>
    <n v="100"/>
    <n v="90"/>
    <x v="1"/>
    <n v="1"/>
    <n v="-10"/>
    <s v="Slightly Behind"/>
    <s v="Delayed"/>
  </r>
  <r>
    <x v="2"/>
    <s v="Structural Steel Installation"/>
    <x v="1"/>
    <s v="Steel Team"/>
    <d v="2026-08-08T00:00:00"/>
    <d v="2026-08-18T00:00:00"/>
    <d v="2026-08-09T00:00:00"/>
    <m/>
    <n v="75"/>
    <n v="60"/>
    <x v="2"/>
    <m/>
    <n v="-15"/>
    <s v="Significantly Behind"/>
    <s v="Not Completed"/>
  </r>
  <r>
    <x v="3"/>
    <s v="Equipment Installation"/>
    <x v="2"/>
    <s v="Mechanical Team"/>
    <d v="2026-08-10T00:00:00"/>
    <d v="2026-08-20T00:00:00"/>
    <d v="2026-08-12T00:00:00"/>
    <m/>
    <n v="60"/>
    <n v="40"/>
    <x v="2"/>
    <m/>
    <n v="-20"/>
    <s v="Significantly Behind"/>
    <s v="Not Completed"/>
  </r>
  <r>
    <x v="4"/>
    <s v="Piping Installation"/>
    <x v="2"/>
    <s v="Piping Team"/>
    <d v="2026-08-12T00:00:00"/>
    <d v="2026-08-25T00:00:00"/>
    <d v="2026-08-13T00:00:00"/>
    <m/>
    <n v="45"/>
    <n v="30"/>
    <x v="2"/>
    <m/>
    <n v="-15"/>
    <s v="Significantly Behind"/>
    <s v="Not Completed"/>
  </r>
  <r>
    <x v="5"/>
    <s v="Cable Tray Installation"/>
    <x v="3"/>
    <s v="Electrical Team"/>
    <d v="2026-08-15T00:00:00"/>
    <d v="2026-08-25T00:00:00"/>
    <m/>
    <m/>
    <n v="20"/>
    <n v="0"/>
    <x v="3"/>
    <m/>
    <n v="-20"/>
    <s v="Significantly Behind"/>
    <s v="Not Completed"/>
  </r>
  <r>
    <x v="6"/>
    <s v="Electrical Cable Pulling"/>
    <x v="3"/>
    <s v="Electrical Team"/>
    <d v="2026-08-18T00:00:00"/>
    <d v="2026-08-30T00:00:00"/>
    <m/>
    <m/>
    <n v="10"/>
    <n v="0"/>
    <x v="3"/>
    <m/>
    <n v="-10"/>
    <s v="Slightly Behind"/>
    <s v="Not Completed"/>
  </r>
  <r>
    <x v="7"/>
    <s v="HVAC Installation"/>
    <x v="2"/>
    <s v="HVAC Team"/>
    <d v="2026-08-05T00:00:00"/>
    <d v="2026-08-15T00:00:00"/>
    <d v="2026-08-06T00:00:00"/>
    <m/>
    <n v="80"/>
    <n v="70"/>
    <x v="2"/>
    <m/>
    <n v="-10"/>
    <s v="Slightly Behind"/>
    <s v="Not Completed"/>
  </r>
  <r>
    <x v="8"/>
    <s v="Fire Protection Piping"/>
    <x v="2"/>
    <s v="Fire Team"/>
    <d v="2026-08-07T00:00:00"/>
    <d v="2026-08-17T00:00:00"/>
    <d v="2026-08-08T00:00:00"/>
    <m/>
    <n v="70"/>
    <n v="55"/>
    <x v="2"/>
    <m/>
    <n v="-15"/>
    <s v="Significantly Behind"/>
    <s v="Not Completed"/>
  </r>
  <r>
    <x v="9"/>
    <s v="Equipment Testing"/>
    <x v="4"/>
    <s v="QA Team"/>
    <d v="2026-08-20T00:00:00"/>
    <d v="2026-08-25T00:00:00"/>
    <m/>
    <m/>
    <n v="0"/>
    <n v="0"/>
    <x v="3"/>
    <m/>
    <n v="0"/>
    <s v="On Track"/>
    <s v="Not Completed"/>
  </r>
  <r>
    <x v="10"/>
    <s v="Welding Inspection"/>
    <x v="4"/>
    <s v="QA Team"/>
    <d v="2026-08-09T00:00:00"/>
    <d v="2026-08-12T00:00:00"/>
    <d v="2026-08-10T00:00:00"/>
    <d v="2026-08-13T00:00:00"/>
    <n v="100"/>
    <n v="100"/>
    <x v="0"/>
    <n v="1"/>
    <n v="0"/>
    <s v="On Track"/>
    <s v="Delayed"/>
  </r>
  <r>
    <x v="11"/>
    <s v="Material Inspection"/>
    <x v="4"/>
    <s v="QA Team"/>
    <d v="2026-08-11T00:00:00"/>
    <d v="2026-08-14T00:00:00"/>
    <d v="2026-08-11T00:00:00"/>
    <m/>
    <n v="80"/>
    <n v="65"/>
    <x v="2"/>
    <m/>
    <n v="-15"/>
    <s v="Significantly Behind"/>
    <s v="Not Completed"/>
  </r>
  <r>
    <x v="12"/>
    <s v="Painting Works"/>
    <x v="5"/>
    <s v="Painting Team"/>
    <d v="2026-08-14T00:00:00"/>
    <d v="2026-08-22T00:00:00"/>
    <m/>
    <m/>
    <n v="40"/>
    <n v="0"/>
    <x v="3"/>
    <m/>
    <n v="-40"/>
    <s v="Significantly Behind"/>
    <s v="Not Completed"/>
  </r>
  <r>
    <x v="13"/>
    <s v="Insulation Works"/>
    <x v="2"/>
    <s v="Insulation Team"/>
    <d v="2026-08-16T00:00:00"/>
    <d v="2026-08-28T00:00:00"/>
    <m/>
    <m/>
    <n v="25"/>
    <n v="0"/>
    <x v="3"/>
    <m/>
    <n v="-25"/>
    <s v="Significantly Behind"/>
    <s v="Not Completed"/>
  </r>
  <r>
    <x v="14"/>
    <s v="Structural Inspection"/>
    <x v="4"/>
    <s v="QA Team"/>
    <d v="2026-08-17T00:00:00"/>
    <d v="2026-08-20T00:00:00"/>
    <m/>
    <m/>
    <n v="20"/>
    <n v="0"/>
    <x v="3"/>
    <m/>
    <n v="-20"/>
    <s v="Significantly Behind"/>
    <s v="Not Completed"/>
  </r>
  <r>
    <x v="15"/>
    <s v="Road Preparation"/>
    <x v="0"/>
    <s v="Civil Team"/>
    <d v="2026-08-02T00:00:00"/>
    <d v="2026-08-12T00:00:00"/>
    <d v="2026-08-03T00:00:00"/>
    <m/>
    <n v="100"/>
    <n v="75"/>
    <x v="1"/>
    <m/>
    <n v="-25"/>
    <s v="Significantly Behind"/>
    <s v="Not Completed"/>
  </r>
  <r>
    <x v="16"/>
    <s v="Drainage Installation"/>
    <x v="0"/>
    <s v="Civil Team"/>
    <d v="2026-08-06T00:00:00"/>
    <d v="2026-08-16T00:00:00"/>
    <d v="2026-08-07T00:00:00"/>
    <m/>
    <n v="85"/>
    <n v="60"/>
    <x v="1"/>
    <m/>
    <n v="-25"/>
    <s v="Significantly Behind"/>
    <s v="Not Completed"/>
  </r>
  <r>
    <x v="17"/>
    <s v="Instrument Installation"/>
    <x v="6"/>
    <s v="Instrument Team"/>
    <d v="2026-08-13T00:00:00"/>
    <d v="2026-08-24T00:00:00"/>
    <d v="2026-08-14T00:00:00"/>
    <m/>
    <n v="35"/>
    <n v="20"/>
    <x v="2"/>
    <m/>
    <n v="-15"/>
    <s v="Significantly Behind"/>
    <s v="Not Completed"/>
  </r>
  <r>
    <x v="18"/>
    <s v="Instrument Testing"/>
    <x v="6"/>
    <s v="Instrument Team"/>
    <d v="2026-08-22T00:00:00"/>
    <d v="2026-08-30T00:00:00"/>
    <m/>
    <m/>
    <n v="5"/>
    <n v="0"/>
    <x v="3"/>
    <m/>
    <n v="-5"/>
    <s v="Slightly Behind"/>
    <s v="Not Completed"/>
  </r>
  <r>
    <x v="19"/>
    <s v="Final Documentation"/>
    <x v="7"/>
    <s v="Document Team"/>
    <d v="2026-08-25T00:00:00"/>
    <d v="2026-08-31T00:00:00"/>
    <m/>
    <m/>
    <n v="0"/>
    <n v="0"/>
    <x v="3"/>
    <m/>
    <n v="0"/>
    <s v="On Track"/>
    <s v="Not Comple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BB3BAA-2F55-438C-822C-1443F9A046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2" firstHeaderRow="0" firstDataRow="1" firstDataCol="1"/>
  <pivotFields count="15">
    <pivotField showAll="0"/>
    <pivotField showAll="0"/>
    <pivotField axis="axisRow" showAll="0">
      <items count="9">
        <item x="0"/>
        <item x="5"/>
        <item x="7"/>
        <item x="3"/>
        <item x="6"/>
        <item x="2"/>
        <item x="4"/>
        <item x="1"/>
        <item t="default"/>
      </items>
    </pivotField>
    <pivotField showAll="0"/>
    <pivotField numFmtId="14" showAll="0"/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lanned %" fld="8" subtotal="average" baseField="2" baseItem="0"/>
    <dataField name="Average of Actual %" fld="9" subtotal="average" baseField="2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CDB31-7208-470B-B809-6B2254B3E9B1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5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ctivity_ID" fld="0" subtotal="count" baseField="0" baseItem="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22607E-3F1C-46CC-B2F0-0D280BDD4736}" autoFormatId="16" applyNumberFormats="0" applyBorderFormats="0" applyFontFormats="0" applyPatternFormats="0" applyAlignmentFormats="0" applyWidthHeightFormats="0">
  <queryTableRefresh nextId="16">
    <queryTableFields count="15">
      <queryTableField id="1" name="Activity_ID" tableColumnId="1"/>
      <queryTableField id="2" name="Activity" tableColumnId="2"/>
      <queryTableField id="3" name="Discipline" tableColumnId="3"/>
      <queryTableField id="4" name="Responsible_Team" tableColumnId="4"/>
      <queryTableField id="5" name="Planned Start" tableColumnId="5"/>
      <queryTableField id="6" name="Planned Finish" tableColumnId="6"/>
      <queryTableField id="7" name="Actual Start" tableColumnId="7"/>
      <queryTableField id="8" name="Actual Finish" tableColumnId="8"/>
      <queryTableField id="9" name="Planned %" tableColumnId="9"/>
      <queryTableField id="10" name="Actual %" tableColumnId="10"/>
      <queryTableField id="11" name="Status" tableColumnId="11"/>
      <queryTableField id="12" name="Delay_Days" tableColumnId="12"/>
      <queryTableField id="13" name="Progress_Variance" tableColumnId="13"/>
      <queryTableField id="14" name="Performance_Status" tableColumnId="14"/>
      <queryTableField id="15" name="Schedule_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84FB1C-2BDA-4C42-848E-92DCDA9DB3F3}" name="qry_ProjectProgress_Clean" displayName="qry_ProjectProgress_Clean" ref="A1:O21" tableType="queryTable" totalsRowShown="0">
  <autoFilter ref="A1:O21" xr:uid="{BD84FB1C-2BDA-4C42-848E-92DCDA9DB3F3}"/>
  <tableColumns count="15">
    <tableColumn id="1" xr3:uid="{2BC0240D-A99D-488C-A588-50F016150C73}" uniqueName="1" name="Activity_ID" queryTableFieldId="1" dataDxfId="10"/>
    <tableColumn id="2" xr3:uid="{6D20E454-D9D5-41F3-A028-A53545F9350E}" uniqueName="2" name="Activity" queryTableFieldId="2" dataDxfId="9"/>
    <tableColumn id="3" xr3:uid="{8A04C90C-4591-429C-B998-55985EC63B31}" uniqueName="3" name="Discipline" queryTableFieldId="3" dataDxfId="8"/>
    <tableColumn id="4" xr3:uid="{1FCDF113-14E5-49DD-A65D-4ADCA6D29FD7}" uniqueName="4" name="Responsible_Team" queryTableFieldId="4" dataDxfId="7"/>
    <tableColumn id="5" xr3:uid="{A118E49F-50B1-4BA5-9BE7-6C2FB1BB5449}" uniqueName="5" name="Planned Start" queryTableFieldId="5" dataDxfId="6"/>
    <tableColumn id="6" xr3:uid="{256F90F2-8736-4ED5-8D71-63509FA2D042}" uniqueName="6" name="Planned Finish" queryTableFieldId="6" dataDxfId="5"/>
    <tableColumn id="7" xr3:uid="{6A12BB7B-6BB9-4DDD-863E-6883EA0E944A}" uniqueName="7" name="Actual Start" queryTableFieldId="7" dataDxfId="4"/>
    <tableColumn id="8" xr3:uid="{948B21F1-3A9F-4ED3-9AC3-F003EB3BCB51}" uniqueName="8" name="Actual Finish" queryTableFieldId="8" dataDxfId="3"/>
    <tableColumn id="9" xr3:uid="{64F235FF-70C2-44EF-878F-72F52DCD4F4F}" uniqueName="9" name="Planned %" queryTableFieldId="9"/>
    <tableColumn id="10" xr3:uid="{4392133E-6519-4CF6-9FFB-F0219BD53653}" uniqueName="10" name="Actual %" queryTableFieldId="10"/>
    <tableColumn id="11" xr3:uid="{377BD46B-76E1-4871-BCF3-D9B1F99E40E3}" uniqueName="11" name="Status" queryTableFieldId="11" dataDxfId="2"/>
    <tableColumn id="12" xr3:uid="{959B3C46-DC15-488D-8672-C656B6D74B5B}" uniqueName="12" name="Delay_Days" queryTableFieldId="12"/>
    <tableColumn id="13" xr3:uid="{25CF4A74-4221-4312-8EBC-C02F8226101F}" uniqueName="13" name="Progress_Variance" queryTableFieldId="13"/>
    <tableColumn id="14" xr3:uid="{A11212B2-4430-49A0-8FCA-13A473BC7A03}" uniqueName="14" name="Performance_Status" queryTableFieldId="14" dataDxfId="1"/>
    <tableColumn id="15" xr3:uid="{EBBF8D14-745C-46E7-B399-798E9FCE9469}" uniqueName="15" name="Schedule_Status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81E27-B997-47CA-BFE9-9319343B22E4}" name="tbl_ProjectProgress" displayName="tbl_ProjectProgress" ref="A1:K21" totalsRowShown="0" headerRowDxfId="11" dataDxfId="12">
  <autoFilter ref="A1:K21" xr:uid="{69A81E27-B997-47CA-BFE9-9319343B22E4}"/>
  <tableColumns count="11">
    <tableColumn id="1" xr3:uid="{7005D06C-AB39-410E-9747-8C77D9F94A5A}" name="Activity_ID" dataDxfId="23"/>
    <tableColumn id="2" xr3:uid="{6B9811D1-1EA8-4531-AF90-4B926B6DCB2A}" name="Activity" dataDxfId="22"/>
    <tableColumn id="3" xr3:uid="{089773C5-1C7B-4F8B-93A4-5FC09D6F7781}" name="Discipline" dataDxfId="21"/>
    <tableColumn id="4" xr3:uid="{6DA56B03-71D0-445C-A1CD-75FC793F3F37}" name="Responsible_Team" dataDxfId="20"/>
    <tableColumn id="5" xr3:uid="{53E2BBBE-DD7C-4D0D-A04E-80CF63A662D7}" name="Planned Start" dataDxfId="19"/>
    <tableColumn id="6" xr3:uid="{4EFED992-F9F0-4972-8683-C3C6CE7FA0DB}" name="Planned Finish" dataDxfId="18"/>
    <tableColumn id="7" xr3:uid="{5DEEE54C-F15E-47A6-86E8-B26A5CDF3441}" name="Actual Start" dataDxfId="17"/>
    <tableColumn id="8" xr3:uid="{90DC8BD7-726A-4083-8118-D080078EA083}" name="Actual Finish" dataDxfId="16"/>
    <tableColumn id="9" xr3:uid="{75855708-0645-4359-9B22-45A2C4BC5585}" name="Planned %" dataDxfId="15"/>
    <tableColumn id="10" xr3:uid="{645B0B93-C05F-49D6-852E-BC809F841883}" name="Actual %" dataDxfId="14"/>
    <tableColumn id="11" xr3:uid="{4EB7296D-B3E0-4AB8-B2DC-8B9A630543F7}" name="Status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9B93-237B-4D50-9B62-632893CF43D5}">
  <dimension ref="A3:C12"/>
  <sheetViews>
    <sheetView workbookViewId="0">
      <selection activeCell="C6" sqref="C6"/>
    </sheetView>
  </sheetViews>
  <sheetFormatPr defaultRowHeight="15" x14ac:dyDescent="0.25"/>
  <cols>
    <col min="1" max="1" width="17" bestFit="1" customWidth="1"/>
    <col min="2" max="2" width="20.42578125" bestFit="1" customWidth="1"/>
    <col min="3" max="3" width="18.7109375" bestFit="1" customWidth="1"/>
  </cols>
  <sheetData>
    <row r="3" spans="1:3" x14ac:dyDescent="0.25">
      <c r="A3" s="9" t="s">
        <v>87</v>
      </c>
      <c r="B3" t="s">
        <v>89</v>
      </c>
      <c r="C3" t="s">
        <v>90</v>
      </c>
    </row>
    <row r="4" spans="1:3" x14ac:dyDescent="0.25">
      <c r="A4" s="10" t="s">
        <v>11</v>
      </c>
      <c r="B4" s="4">
        <v>96.25</v>
      </c>
      <c r="C4" s="4">
        <v>81.25</v>
      </c>
    </row>
    <row r="5" spans="1:3" x14ac:dyDescent="0.25">
      <c r="A5" s="10" t="s">
        <v>52</v>
      </c>
      <c r="B5" s="4">
        <v>40</v>
      </c>
      <c r="C5" s="4">
        <v>0</v>
      </c>
    </row>
    <row r="6" spans="1:3" x14ac:dyDescent="0.25">
      <c r="A6" s="10" t="s">
        <v>71</v>
      </c>
      <c r="B6" s="4">
        <v>0</v>
      </c>
      <c r="C6" s="4">
        <v>0</v>
      </c>
    </row>
    <row r="7" spans="1:3" x14ac:dyDescent="0.25">
      <c r="A7" s="10" t="s">
        <v>31</v>
      </c>
      <c r="B7" s="4">
        <v>15</v>
      </c>
      <c r="C7" s="4">
        <v>0</v>
      </c>
    </row>
    <row r="8" spans="1:3" x14ac:dyDescent="0.25">
      <c r="A8" s="10" t="s">
        <v>65</v>
      </c>
      <c r="B8" s="4">
        <v>20</v>
      </c>
      <c r="C8" s="4">
        <v>10</v>
      </c>
    </row>
    <row r="9" spans="1:3" x14ac:dyDescent="0.25">
      <c r="A9" s="10" t="s">
        <v>24</v>
      </c>
      <c r="B9" s="4">
        <v>56</v>
      </c>
      <c r="C9" s="4">
        <v>39</v>
      </c>
    </row>
    <row r="10" spans="1:3" x14ac:dyDescent="0.25">
      <c r="A10" s="10" t="s">
        <v>44</v>
      </c>
      <c r="B10" s="4">
        <v>50</v>
      </c>
      <c r="C10" s="4">
        <v>41.25</v>
      </c>
    </row>
    <row r="11" spans="1:3" x14ac:dyDescent="0.25">
      <c r="A11" s="10" t="s">
        <v>19</v>
      </c>
      <c r="B11" s="4">
        <v>75</v>
      </c>
      <c r="C11" s="4">
        <v>60</v>
      </c>
    </row>
    <row r="12" spans="1:3" x14ac:dyDescent="0.25">
      <c r="A12" s="10" t="s">
        <v>88</v>
      </c>
      <c r="B12" s="4">
        <v>52.5</v>
      </c>
      <c r="C12" s="4">
        <v>38.25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35F6-6DA8-431D-AE25-BED255CF83F5}">
  <dimension ref="A3:B8"/>
  <sheetViews>
    <sheetView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9.140625" bestFit="1" customWidth="1"/>
  </cols>
  <sheetData>
    <row r="3" spans="1:2" x14ac:dyDescent="0.25">
      <c r="A3" s="9" t="s">
        <v>87</v>
      </c>
      <c r="B3" t="s">
        <v>91</v>
      </c>
    </row>
    <row r="4" spans="1:2" x14ac:dyDescent="0.25">
      <c r="A4" s="10" t="s">
        <v>13</v>
      </c>
      <c r="B4" s="4">
        <v>2</v>
      </c>
    </row>
    <row r="5" spans="1:2" x14ac:dyDescent="0.25">
      <c r="A5" s="10" t="s">
        <v>16</v>
      </c>
      <c r="B5" s="4">
        <v>3</v>
      </c>
    </row>
    <row r="6" spans="1:2" x14ac:dyDescent="0.25">
      <c r="A6" s="10" t="s">
        <v>21</v>
      </c>
      <c r="B6" s="4">
        <v>7</v>
      </c>
    </row>
    <row r="7" spans="1:2" x14ac:dyDescent="0.25">
      <c r="A7" s="10" t="s">
        <v>33</v>
      </c>
      <c r="B7" s="4">
        <v>8</v>
      </c>
    </row>
    <row r="8" spans="1:2" x14ac:dyDescent="0.25">
      <c r="A8" s="10" t="s">
        <v>88</v>
      </c>
      <c r="B8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A3FC-A9A9-45F7-A82E-20415288F21E}">
  <dimension ref="A1:O21"/>
  <sheetViews>
    <sheetView zoomScale="70" zoomScaleNormal="70" workbookViewId="0">
      <selection activeCell="E7" sqref="E7"/>
    </sheetView>
  </sheetViews>
  <sheetFormatPr defaultRowHeight="15" x14ac:dyDescent="0.25"/>
  <cols>
    <col min="1" max="1" width="12.85546875" bestFit="1" customWidth="1"/>
    <col min="2" max="2" width="25.140625" bestFit="1" customWidth="1"/>
    <col min="3" max="3" width="17" bestFit="1" customWidth="1"/>
    <col min="4" max="4" width="20.5703125" bestFit="1" customWidth="1"/>
    <col min="5" max="5" width="15.42578125" bestFit="1" customWidth="1"/>
    <col min="6" max="6" width="16.5703125" bestFit="1" customWidth="1"/>
    <col min="7" max="7" width="13.5703125" bestFit="1" customWidth="1"/>
    <col min="8" max="8" width="14.7109375" bestFit="1" customWidth="1"/>
    <col min="9" max="9" width="12.5703125" bestFit="1" customWidth="1"/>
    <col min="10" max="11" width="10.85546875" bestFit="1" customWidth="1"/>
    <col min="12" max="12" width="13.7109375" bestFit="1" customWidth="1"/>
    <col min="13" max="13" width="20" bestFit="1" customWidth="1"/>
    <col min="14" max="14" width="21.7109375" bestFit="1" customWidth="1"/>
    <col min="15" max="15" width="18.42578125" bestFit="1" customWidth="1"/>
  </cols>
  <sheetData>
    <row r="1" spans="1:15" x14ac:dyDescent="0.25">
      <c r="A1" t="s">
        <v>73</v>
      </c>
      <c r="B1" t="s">
        <v>0</v>
      </c>
      <c r="C1" t="s">
        <v>1</v>
      </c>
      <c r="D1" t="s">
        <v>74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75</v>
      </c>
      <c r="M1" t="s">
        <v>76</v>
      </c>
      <c r="N1" t="s">
        <v>77</v>
      </c>
      <c r="O1" t="s">
        <v>78</v>
      </c>
    </row>
    <row r="2" spans="1:15" x14ac:dyDescent="0.25">
      <c r="A2" s="4" t="s">
        <v>9</v>
      </c>
      <c r="B2" s="4" t="s">
        <v>10</v>
      </c>
      <c r="C2" s="4" t="s">
        <v>11</v>
      </c>
      <c r="D2" s="4" t="s">
        <v>12</v>
      </c>
      <c r="E2" s="5">
        <v>46235</v>
      </c>
      <c r="F2" s="5">
        <v>46239</v>
      </c>
      <c r="G2" s="5">
        <v>46235</v>
      </c>
      <c r="H2" s="5">
        <v>46239</v>
      </c>
      <c r="I2">
        <v>100</v>
      </c>
      <c r="J2">
        <v>100</v>
      </c>
      <c r="K2" s="4" t="s">
        <v>13</v>
      </c>
      <c r="L2">
        <v>0</v>
      </c>
      <c r="M2">
        <v>0</v>
      </c>
      <c r="N2" s="4" t="s">
        <v>79</v>
      </c>
      <c r="O2" s="4" t="s">
        <v>80</v>
      </c>
    </row>
    <row r="3" spans="1:15" x14ac:dyDescent="0.25">
      <c r="A3" s="4" t="s">
        <v>14</v>
      </c>
      <c r="B3" s="4" t="s">
        <v>15</v>
      </c>
      <c r="C3" s="4" t="s">
        <v>11</v>
      </c>
      <c r="D3" s="4" t="s">
        <v>12</v>
      </c>
      <c r="E3" s="5">
        <v>46238</v>
      </c>
      <c r="F3" s="5">
        <v>46244</v>
      </c>
      <c r="G3" s="5">
        <v>46239</v>
      </c>
      <c r="H3" s="5">
        <v>46245</v>
      </c>
      <c r="I3">
        <v>100</v>
      </c>
      <c r="J3">
        <v>90</v>
      </c>
      <c r="K3" s="4" t="s">
        <v>16</v>
      </c>
      <c r="L3">
        <v>1</v>
      </c>
      <c r="M3">
        <v>-10</v>
      </c>
      <c r="N3" s="4" t="s">
        <v>81</v>
      </c>
      <c r="O3" s="4" t="s">
        <v>16</v>
      </c>
    </row>
    <row r="4" spans="1:15" x14ac:dyDescent="0.25">
      <c r="A4" s="4" t="s">
        <v>17</v>
      </c>
      <c r="B4" s="4" t="s">
        <v>18</v>
      </c>
      <c r="C4" s="4" t="s">
        <v>19</v>
      </c>
      <c r="D4" s="4" t="s">
        <v>20</v>
      </c>
      <c r="E4" s="5">
        <v>46242</v>
      </c>
      <c r="F4" s="5">
        <v>46252</v>
      </c>
      <c r="G4" s="5">
        <v>46243</v>
      </c>
      <c r="H4" s="5"/>
      <c r="I4">
        <v>75</v>
      </c>
      <c r="J4">
        <v>60</v>
      </c>
      <c r="K4" s="4" t="s">
        <v>21</v>
      </c>
      <c r="M4">
        <v>-15</v>
      </c>
      <c r="N4" s="4" t="s">
        <v>82</v>
      </c>
      <c r="O4" s="4" t="s">
        <v>83</v>
      </c>
    </row>
    <row r="5" spans="1:15" x14ac:dyDescent="0.25">
      <c r="A5" s="4" t="s">
        <v>22</v>
      </c>
      <c r="B5" s="4" t="s">
        <v>23</v>
      </c>
      <c r="C5" s="4" t="s">
        <v>24</v>
      </c>
      <c r="D5" s="4" t="s">
        <v>25</v>
      </c>
      <c r="E5" s="5">
        <v>46244</v>
      </c>
      <c r="F5" s="5">
        <v>46254</v>
      </c>
      <c r="G5" s="5">
        <v>46246</v>
      </c>
      <c r="H5" s="5"/>
      <c r="I5">
        <v>60</v>
      </c>
      <c r="J5">
        <v>40</v>
      </c>
      <c r="K5" s="4" t="s">
        <v>21</v>
      </c>
      <c r="M5">
        <v>-20</v>
      </c>
      <c r="N5" s="4" t="s">
        <v>82</v>
      </c>
      <c r="O5" s="4" t="s">
        <v>83</v>
      </c>
    </row>
    <row r="6" spans="1:15" x14ac:dyDescent="0.25">
      <c r="A6" s="4" t="s">
        <v>26</v>
      </c>
      <c r="B6" s="4" t="s">
        <v>27</v>
      </c>
      <c r="C6" s="4" t="s">
        <v>24</v>
      </c>
      <c r="D6" s="4" t="s">
        <v>28</v>
      </c>
      <c r="E6" s="5">
        <v>46246</v>
      </c>
      <c r="F6" s="5">
        <v>46259</v>
      </c>
      <c r="G6" s="5">
        <v>46247</v>
      </c>
      <c r="H6" s="5"/>
      <c r="I6">
        <v>45</v>
      </c>
      <c r="J6">
        <v>30</v>
      </c>
      <c r="K6" s="4" t="s">
        <v>21</v>
      </c>
      <c r="M6">
        <v>-15</v>
      </c>
      <c r="N6" s="4" t="s">
        <v>82</v>
      </c>
      <c r="O6" s="4" t="s">
        <v>83</v>
      </c>
    </row>
    <row r="7" spans="1:15" x14ac:dyDescent="0.25">
      <c r="A7" s="4" t="s">
        <v>29</v>
      </c>
      <c r="B7" s="4" t="s">
        <v>30</v>
      </c>
      <c r="C7" s="4" t="s">
        <v>31</v>
      </c>
      <c r="D7" s="4" t="s">
        <v>32</v>
      </c>
      <c r="E7" s="5">
        <v>46249</v>
      </c>
      <c r="F7" s="5">
        <v>46259</v>
      </c>
      <c r="G7" s="5"/>
      <c r="H7" s="5"/>
      <c r="I7">
        <v>20</v>
      </c>
      <c r="J7">
        <v>0</v>
      </c>
      <c r="K7" s="4" t="s">
        <v>33</v>
      </c>
      <c r="M7">
        <v>-20</v>
      </c>
      <c r="N7" s="4" t="s">
        <v>82</v>
      </c>
      <c r="O7" s="4" t="s">
        <v>83</v>
      </c>
    </row>
    <row r="8" spans="1:15" x14ac:dyDescent="0.25">
      <c r="A8" s="4" t="s">
        <v>34</v>
      </c>
      <c r="B8" s="4" t="s">
        <v>35</v>
      </c>
      <c r="C8" s="4" t="s">
        <v>31</v>
      </c>
      <c r="D8" s="4" t="s">
        <v>32</v>
      </c>
      <c r="E8" s="5">
        <v>46252</v>
      </c>
      <c r="F8" s="5">
        <v>46264</v>
      </c>
      <c r="G8" s="5"/>
      <c r="H8" s="5"/>
      <c r="I8">
        <v>10</v>
      </c>
      <c r="J8">
        <v>0</v>
      </c>
      <c r="K8" s="4" t="s">
        <v>33</v>
      </c>
      <c r="M8">
        <v>-10</v>
      </c>
      <c r="N8" s="4" t="s">
        <v>81</v>
      </c>
      <c r="O8" s="4" t="s">
        <v>83</v>
      </c>
    </row>
    <row r="9" spans="1:15" x14ac:dyDescent="0.25">
      <c r="A9" s="4" t="s">
        <v>36</v>
      </c>
      <c r="B9" s="4" t="s">
        <v>37</v>
      </c>
      <c r="C9" s="4" t="s">
        <v>24</v>
      </c>
      <c r="D9" s="4" t="s">
        <v>38</v>
      </c>
      <c r="E9" s="5">
        <v>46239</v>
      </c>
      <c r="F9" s="5">
        <v>46249</v>
      </c>
      <c r="G9" s="5">
        <v>46240</v>
      </c>
      <c r="H9" s="5"/>
      <c r="I9">
        <v>80</v>
      </c>
      <c r="J9">
        <v>70</v>
      </c>
      <c r="K9" s="4" t="s">
        <v>21</v>
      </c>
      <c r="M9">
        <v>-10</v>
      </c>
      <c r="N9" s="4" t="s">
        <v>81</v>
      </c>
      <c r="O9" s="4" t="s">
        <v>83</v>
      </c>
    </row>
    <row r="10" spans="1:15" x14ac:dyDescent="0.25">
      <c r="A10" s="4" t="s">
        <v>39</v>
      </c>
      <c r="B10" s="4" t="s">
        <v>40</v>
      </c>
      <c r="C10" s="4" t="s">
        <v>24</v>
      </c>
      <c r="D10" s="4" t="s">
        <v>41</v>
      </c>
      <c r="E10" s="5">
        <v>46241</v>
      </c>
      <c r="F10" s="5">
        <v>46251</v>
      </c>
      <c r="G10" s="5">
        <v>46242</v>
      </c>
      <c r="H10" s="5"/>
      <c r="I10">
        <v>70</v>
      </c>
      <c r="J10">
        <v>55</v>
      </c>
      <c r="K10" s="4" t="s">
        <v>21</v>
      </c>
      <c r="M10">
        <v>-15</v>
      </c>
      <c r="N10" s="4" t="s">
        <v>82</v>
      </c>
      <c r="O10" s="4" t="s">
        <v>83</v>
      </c>
    </row>
    <row r="11" spans="1:15" x14ac:dyDescent="0.25">
      <c r="A11" s="4" t="s">
        <v>42</v>
      </c>
      <c r="B11" s="4" t="s">
        <v>43</v>
      </c>
      <c r="C11" s="4" t="s">
        <v>44</v>
      </c>
      <c r="D11" s="4" t="s">
        <v>45</v>
      </c>
      <c r="E11" s="5">
        <v>46254</v>
      </c>
      <c r="F11" s="5">
        <v>46259</v>
      </c>
      <c r="G11" s="5"/>
      <c r="H11" s="5"/>
      <c r="I11">
        <v>0</v>
      </c>
      <c r="J11">
        <v>0</v>
      </c>
      <c r="K11" s="4" t="s">
        <v>33</v>
      </c>
      <c r="M11">
        <v>0</v>
      </c>
      <c r="N11" s="4" t="s">
        <v>79</v>
      </c>
      <c r="O11" s="4" t="s">
        <v>83</v>
      </c>
    </row>
    <row r="12" spans="1:15" x14ac:dyDescent="0.25">
      <c r="A12" s="4" t="s">
        <v>46</v>
      </c>
      <c r="B12" s="4" t="s">
        <v>47</v>
      </c>
      <c r="C12" s="4" t="s">
        <v>44</v>
      </c>
      <c r="D12" s="4" t="s">
        <v>45</v>
      </c>
      <c r="E12" s="5">
        <v>46243</v>
      </c>
      <c r="F12" s="5">
        <v>46246</v>
      </c>
      <c r="G12" s="5">
        <v>46244</v>
      </c>
      <c r="H12" s="5">
        <v>46247</v>
      </c>
      <c r="I12">
        <v>100</v>
      </c>
      <c r="J12">
        <v>100</v>
      </c>
      <c r="K12" s="4" t="s">
        <v>13</v>
      </c>
      <c r="L12">
        <v>1</v>
      </c>
      <c r="M12">
        <v>0</v>
      </c>
      <c r="N12" s="4" t="s">
        <v>79</v>
      </c>
      <c r="O12" s="4" t="s">
        <v>16</v>
      </c>
    </row>
    <row r="13" spans="1:15" x14ac:dyDescent="0.25">
      <c r="A13" s="4" t="s">
        <v>48</v>
      </c>
      <c r="B13" s="4" t="s">
        <v>49</v>
      </c>
      <c r="C13" s="4" t="s">
        <v>44</v>
      </c>
      <c r="D13" s="4" t="s">
        <v>45</v>
      </c>
      <c r="E13" s="5">
        <v>46245</v>
      </c>
      <c r="F13" s="5">
        <v>46248</v>
      </c>
      <c r="G13" s="5">
        <v>46245</v>
      </c>
      <c r="H13" s="5"/>
      <c r="I13">
        <v>80</v>
      </c>
      <c r="J13">
        <v>65</v>
      </c>
      <c r="K13" s="4" t="s">
        <v>21</v>
      </c>
      <c r="M13">
        <v>-15</v>
      </c>
      <c r="N13" s="4" t="s">
        <v>82</v>
      </c>
      <c r="O13" s="4" t="s">
        <v>83</v>
      </c>
    </row>
    <row r="14" spans="1:15" x14ac:dyDescent="0.25">
      <c r="A14" s="4" t="s">
        <v>50</v>
      </c>
      <c r="B14" s="4" t="s">
        <v>51</v>
      </c>
      <c r="C14" s="4" t="s">
        <v>52</v>
      </c>
      <c r="D14" s="4" t="s">
        <v>53</v>
      </c>
      <c r="E14" s="5">
        <v>46248</v>
      </c>
      <c r="F14" s="5">
        <v>46256</v>
      </c>
      <c r="G14" s="5"/>
      <c r="H14" s="5"/>
      <c r="I14">
        <v>40</v>
      </c>
      <c r="J14">
        <v>0</v>
      </c>
      <c r="K14" s="4" t="s">
        <v>33</v>
      </c>
      <c r="M14">
        <v>-40</v>
      </c>
      <c r="N14" s="4" t="s">
        <v>82</v>
      </c>
      <c r="O14" s="4" t="s">
        <v>83</v>
      </c>
    </row>
    <row r="15" spans="1:15" x14ac:dyDescent="0.25">
      <c r="A15" s="4" t="s">
        <v>54</v>
      </c>
      <c r="B15" s="4" t="s">
        <v>55</v>
      </c>
      <c r="C15" s="4" t="s">
        <v>24</v>
      </c>
      <c r="D15" s="4" t="s">
        <v>56</v>
      </c>
      <c r="E15" s="5">
        <v>46250</v>
      </c>
      <c r="F15" s="5">
        <v>46262</v>
      </c>
      <c r="G15" s="5"/>
      <c r="H15" s="5"/>
      <c r="I15">
        <v>25</v>
      </c>
      <c r="J15">
        <v>0</v>
      </c>
      <c r="K15" s="4" t="s">
        <v>33</v>
      </c>
      <c r="M15">
        <v>-25</v>
      </c>
      <c r="N15" s="4" t="s">
        <v>82</v>
      </c>
      <c r="O15" s="4" t="s">
        <v>83</v>
      </c>
    </row>
    <row r="16" spans="1:15" x14ac:dyDescent="0.25">
      <c r="A16" s="4" t="s">
        <v>57</v>
      </c>
      <c r="B16" s="4" t="s">
        <v>58</v>
      </c>
      <c r="C16" s="4" t="s">
        <v>44</v>
      </c>
      <c r="D16" s="4" t="s">
        <v>45</v>
      </c>
      <c r="E16" s="5">
        <v>46251</v>
      </c>
      <c r="F16" s="5">
        <v>46254</v>
      </c>
      <c r="G16" s="5"/>
      <c r="H16" s="5"/>
      <c r="I16">
        <v>20</v>
      </c>
      <c r="J16">
        <v>0</v>
      </c>
      <c r="K16" s="4" t="s">
        <v>33</v>
      </c>
      <c r="M16">
        <v>-20</v>
      </c>
      <c r="N16" s="4" t="s">
        <v>82</v>
      </c>
      <c r="O16" s="4" t="s">
        <v>83</v>
      </c>
    </row>
    <row r="17" spans="1:15" x14ac:dyDescent="0.25">
      <c r="A17" s="4" t="s">
        <v>59</v>
      </c>
      <c r="B17" s="4" t="s">
        <v>60</v>
      </c>
      <c r="C17" s="4" t="s">
        <v>11</v>
      </c>
      <c r="D17" s="4" t="s">
        <v>12</v>
      </c>
      <c r="E17" s="5">
        <v>46236</v>
      </c>
      <c r="F17" s="5">
        <v>46246</v>
      </c>
      <c r="G17" s="5">
        <v>46237</v>
      </c>
      <c r="H17" s="5"/>
      <c r="I17">
        <v>100</v>
      </c>
      <c r="J17">
        <v>75</v>
      </c>
      <c r="K17" s="4" t="s">
        <v>16</v>
      </c>
      <c r="M17">
        <v>-25</v>
      </c>
      <c r="N17" s="4" t="s">
        <v>82</v>
      </c>
      <c r="O17" s="4" t="s">
        <v>83</v>
      </c>
    </row>
    <row r="18" spans="1:15" x14ac:dyDescent="0.25">
      <c r="A18" s="4" t="s">
        <v>61</v>
      </c>
      <c r="B18" s="4" t="s">
        <v>62</v>
      </c>
      <c r="C18" s="4" t="s">
        <v>11</v>
      </c>
      <c r="D18" s="4" t="s">
        <v>12</v>
      </c>
      <c r="E18" s="5">
        <v>46240</v>
      </c>
      <c r="F18" s="5">
        <v>46250</v>
      </c>
      <c r="G18" s="5">
        <v>46241</v>
      </c>
      <c r="H18" s="5"/>
      <c r="I18">
        <v>85</v>
      </c>
      <c r="J18">
        <v>60</v>
      </c>
      <c r="K18" s="4" t="s">
        <v>16</v>
      </c>
      <c r="M18">
        <v>-25</v>
      </c>
      <c r="N18" s="4" t="s">
        <v>82</v>
      </c>
      <c r="O18" s="4" t="s">
        <v>83</v>
      </c>
    </row>
    <row r="19" spans="1:15" x14ac:dyDescent="0.25">
      <c r="A19" s="4" t="s">
        <v>63</v>
      </c>
      <c r="B19" s="4" t="s">
        <v>64</v>
      </c>
      <c r="C19" s="4" t="s">
        <v>65</v>
      </c>
      <c r="D19" s="4" t="s">
        <v>66</v>
      </c>
      <c r="E19" s="5">
        <v>46247</v>
      </c>
      <c r="F19" s="5">
        <v>46258</v>
      </c>
      <c r="G19" s="5">
        <v>46248</v>
      </c>
      <c r="H19" s="5"/>
      <c r="I19">
        <v>35</v>
      </c>
      <c r="J19">
        <v>20</v>
      </c>
      <c r="K19" s="4" t="s">
        <v>21</v>
      </c>
      <c r="M19">
        <v>-15</v>
      </c>
      <c r="N19" s="4" t="s">
        <v>82</v>
      </c>
      <c r="O19" s="4" t="s">
        <v>83</v>
      </c>
    </row>
    <row r="20" spans="1:15" x14ac:dyDescent="0.25">
      <c r="A20" s="4" t="s">
        <v>67</v>
      </c>
      <c r="B20" s="4" t="s">
        <v>68</v>
      </c>
      <c r="C20" s="4" t="s">
        <v>65</v>
      </c>
      <c r="D20" s="4" t="s">
        <v>66</v>
      </c>
      <c r="E20" s="5">
        <v>46256</v>
      </c>
      <c r="F20" s="5">
        <v>46264</v>
      </c>
      <c r="G20" s="5"/>
      <c r="H20" s="5"/>
      <c r="I20">
        <v>5</v>
      </c>
      <c r="J20">
        <v>0</v>
      </c>
      <c r="K20" s="4" t="s">
        <v>33</v>
      </c>
      <c r="M20">
        <v>-5</v>
      </c>
      <c r="N20" s="4" t="s">
        <v>81</v>
      </c>
      <c r="O20" s="4" t="s">
        <v>83</v>
      </c>
    </row>
    <row r="21" spans="1:15" x14ac:dyDescent="0.25">
      <c r="A21" s="4" t="s">
        <v>69</v>
      </c>
      <c r="B21" s="4" t="s">
        <v>70</v>
      </c>
      <c r="C21" s="4" t="s">
        <v>71</v>
      </c>
      <c r="D21" s="4" t="s">
        <v>72</v>
      </c>
      <c r="E21" s="5">
        <v>46259</v>
      </c>
      <c r="F21" s="5">
        <v>46265</v>
      </c>
      <c r="G21" s="5"/>
      <c r="H21" s="5"/>
      <c r="I21">
        <v>0</v>
      </c>
      <c r="J21">
        <v>0</v>
      </c>
      <c r="K21" s="4" t="s">
        <v>33</v>
      </c>
      <c r="M21">
        <v>0</v>
      </c>
      <c r="N21" s="4" t="s">
        <v>79</v>
      </c>
      <c r="O21" s="4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8832-FFC5-432B-AFFF-9D96EC2AAD56}">
  <dimension ref="E1:O3"/>
  <sheetViews>
    <sheetView showGridLines="0" zoomScale="55" zoomScaleNormal="55" workbookViewId="0">
      <selection activeCell="J37" sqref="J37"/>
    </sheetView>
  </sheetViews>
  <sheetFormatPr defaultRowHeight="15" x14ac:dyDescent="0.25"/>
  <cols>
    <col min="5" max="5" width="30.7109375" customWidth="1"/>
    <col min="7" max="7" width="30.7109375" customWidth="1"/>
    <col min="9" max="9" width="30.7109375" customWidth="1"/>
    <col min="11" max="11" width="30.7109375" customWidth="1"/>
    <col min="13" max="13" width="30.7109375" customWidth="1"/>
    <col min="15" max="15" width="30.7109375" customWidth="1"/>
  </cols>
  <sheetData>
    <row r="1" spans="5:15" ht="28.5" x14ac:dyDescent="0.45">
      <c r="E1" s="12" t="s">
        <v>93</v>
      </c>
      <c r="F1" s="12"/>
      <c r="G1" s="12"/>
      <c r="H1" s="12"/>
      <c r="I1" s="12"/>
      <c r="J1" s="12"/>
      <c r="K1" s="12"/>
      <c r="L1" s="12"/>
      <c r="M1" s="12"/>
      <c r="N1" s="12"/>
      <c r="O1" s="12"/>
    </row>
    <row r="2" spans="5:15" s="7" customFormat="1" ht="24" x14ac:dyDescent="0.4">
      <c r="E2" s="13" t="s">
        <v>84</v>
      </c>
      <c r="F2" s="8"/>
      <c r="G2" s="13" t="s">
        <v>85</v>
      </c>
      <c r="H2" s="8"/>
      <c r="I2" s="13" t="s">
        <v>21</v>
      </c>
      <c r="J2" s="8"/>
      <c r="K2" s="13" t="s">
        <v>92</v>
      </c>
      <c r="L2" s="8"/>
      <c r="M2" s="13" t="s">
        <v>86</v>
      </c>
      <c r="N2" s="8"/>
      <c r="O2" s="13" t="s">
        <v>94</v>
      </c>
    </row>
    <row r="3" spans="5:15" ht="39" x14ac:dyDescent="0.25">
      <c r="E3" s="11">
        <f>COUNTA(qry_ProjectProgress_Clean[Activity_ID])</f>
        <v>20</v>
      </c>
      <c r="G3" s="11">
        <f>COUNTIF(qry_ProjectProgress_Clean[Status],"Completed")</f>
        <v>2</v>
      </c>
      <c r="I3" s="11">
        <f>COUNTIF(qry_ProjectProgress_Clean[Status],"In Progress")</f>
        <v>7</v>
      </c>
      <c r="K3" s="11">
        <f>COUNTIF(qry_ProjectProgress_Clean[Schedule_Status],"Delayed")</f>
        <v>2</v>
      </c>
      <c r="M3" s="11">
        <f>AVERAGE(qry_ProjectProgress_Clean[Actual %])</f>
        <v>38.25</v>
      </c>
      <c r="O3" s="11">
        <f>AVERAGE(qry_ProjectProgress_Clean[Progress_Variance])</f>
        <v>-14.25</v>
      </c>
    </row>
  </sheetData>
  <mergeCells count="1">
    <mergeCell ref="E1:O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748F-9F90-44A1-B1A3-A21A8167F5DF}">
  <dimension ref="A1:K21"/>
  <sheetViews>
    <sheetView zoomScale="85" zoomScaleNormal="85" workbookViewId="0">
      <selection activeCell="B10" sqref="B10"/>
    </sheetView>
  </sheetViews>
  <sheetFormatPr defaultRowHeight="15" x14ac:dyDescent="0.25"/>
  <cols>
    <col min="1" max="1" width="23.5703125" customWidth="1"/>
    <col min="2" max="2" width="28.28515625" customWidth="1"/>
    <col min="3" max="3" width="31.7109375" customWidth="1"/>
    <col min="4" max="4" width="20.140625" customWidth="1"/>
    <col min="5" max="5" width="15.140625" customWidth="1"/>
    <col min="6" max="6" width="16.28515625" customWidth="1"/>
    <col min="7" max="7" width="13.42578125" customWidth="1"/>
    <col min="8" max="8" width="14.5703125" customWidth="1"/>
    <col min="9" max="9" width="12.42578125" customWidth="1"/>
    <col min="10" max="10" width="10.7109375" customWidth="1"/>
    <col min="11" max="11" width="31.42578125" customWidth="1"/>
  </cols>
  <sheetData>
    <row r="1" spans="1:11" x14ac:dyDescent="0.25">
      <c r="A1" s="1" t="s">
        <v>73</v>
      </c>
      <c r="B1" s="1" t="s">
        <v>0</v>
      </c>
      <c r="C1" s="1" t="s">
        <v>1</v>
      </c>
      <c r="D1" s="1" t="s">
        <v>74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46235</v>
      </c>
      <c r="F2" s="3">
        <v>46239</v>
      </c>
      <c r="G2" s="3">
        <v>46235</v>
      </c>
      <c r="H2" s="3">
        <v>46239</v>
      </c>
      <c r="I2" s="2">
        <v>100</v>
      </c>
      <c r="J2" s="2">
        <v>100</v>
      </c>
      <c r="K2" s="2" t="s">
        <v>13</v>
      </c>
    </row>
    <row r="3" spans="1:11" x14ac:dyDescent="0.25">
      <c r="A3" s="2" t="s">
        <v>14</v>
      </c>
      <c r="B3" s="2" t="s">
        <v>15</v>
      </c>
      <c r="C3" s="2" t="s">
        <v>11</v>
      </c>
      <c r="D3" s="2" t="s">
        <v>12</v>
      </c>
      <c r="E3" s="3">
        <v>46238</v>
      </c>
      <c r="F3" s="3">
        <v>46244</v>
      </c>
      <c r="G3" s="3">
        <v>46239</v>
      </c>
      <c r="H3" s="3">
        <v>46245</v>
      </c>
      <c r="I3" s="2">
        <v>100</v>
      </c>
      <c r="J3" s="2">
        <v>90</v>
      </c>
      <c r="K3" s="2" t="s">
        <v>16</v>
      </c>
    </row>
    <row r="4" spans="1:11" x14ac:dyDescent="0.25">
      <c r="A4" s="2" t="s">
        <v>17</v>
      </c>
      <c r="B4" s="2" t="s">
        <v>18</v>
      </c>
      <c r="C4" s="2" t="s">
        <v>19</v>
      </c>
      <c r="D4" s="2" t="s">
        <v>20</v>
      </c>
      <c r="E4" s="3">
        <v>46242</v>
      </c>
      <c r="F4" s="3">
        <v>46252</v>
      </c>
      <c r="G4" s="3">
        <v>46243</v>
      </c>
      <c r="H4" s="2"/>
      <c r="I4" s="2">
        <v>75</v>
      </c>
      <c r="J4" s="2">
        <v>60</v>
      </c>
      <c r="K4" s="2" t="s">
        <v>21</v>
      </c>
    </row>
    <row r="5" spans="1:11" x14ac:dyDescent="0.25">
      <c r="A5" s="2" t="s">
        <v>22</v>
      </c>
      <c r="B5" s="2" t="s">
        <v>23</v>
      </c>
      <c r="C5" s="2" t="s">
        <v>24</v>
      </c>
      <c r="D5" s="2" t="s">
        <v>25</v>
      </c>
      <c r="E5" s="3">
        <v>46244</v>
      </c>
      <c r="F5" s="3">
        <v>46254</v>
      </c>
      <c r="G5" s="3">
        <v>46246</v>
      </c>
      <c r="H5" s="2"/>
      <c r="I5" s="2">
        <v>60</v>
      </c>
      <c r="J5" s="2">
        <v>40</v>
      </c>
      <c r="K5" s="2" t="s">
        <v>21</v>
      </c>
    </row>
    <row r="6" spans="1:11" x14ac:dyDescent="0.25">
      <c r="A6" s="2" t="s">
        <v>26</v>
      </c>
      <c r="B6" s="2" t="s">
        <v>27</v>
      </c>
      <c r="C6" s="2" t="s">
        <v>24</v>
      </c>
      <c r="D6" s="2" t="s">
        <v>28</v>
      </c>
      <c r="E6" s="3">
        <v>46246</v>
      </c>
      <c r="F6" s="3">
        <v>46259</v>
      </c>
      <c r="G6" s="3">
        <v>46247</v>
      </c>
      <c r="H6" s="2"/>
      <c r="I6" s="2">
        <v>45</v>
      </c>
      <c r="J6" s="2">
        <v>30</v>
      </c>
      <c r="K6" s="2" t="s">
        <v>21</v>
      </c>
    </row>
    <row r="7" spans="1:11" x14ac:dyDescent="0.25">
      <c r="A7" s="2" t="s">
        <v>29</v>
      </c>
      <c r="B7" s="2" t="s">
        <v>30</v>
      </c>
      <c r="C7" s="2" t="s">
        <v>31</v>
      </c>
      <c r="D7" s="2" t="s">
        <v>32</v>
      </c>
      <c r="E7" s="3">
        <v>46249</v>
      </c>
      <c r="F7" s="3">
        <v>46259</v>
      </c>
      <c r="G7" s="2"/>
      <c r="H7" s="2"/>
      <c r="I7" s="2">
        <v>20</v>
      </c>
      <c r="J7" s="2">
        <v>0</v>
      </c>
      <c r="K7" s="2" t="s">
        <v>33</v>
      </c>
    </row>
    <row r="8" spans="1:11" x14ac:dyDescent="0.25">
      <c r="A8" s="2" t="s">
        <v>34</v>
      </c>
      <c r="B8" s="2" t="s">
        <v>35</v>
      </c>
      <c r="C8" s="2" t="s">
        <v>31</v>
      </c>
      <c r="D8" s="2" t="s">
        <v>32</v>
      </c>
      <c r="E8" s="3">
        <v>46252</v>
      </c>
      <c r="F8" s="3">
        <v>46264</v>
      </c>
      <c r="G8" s="2"/>
      <c r="H8" s="2"/>
      <c r="I8" s="2">
        <v>10</v>
      </c>
      <c r="J8" s="2">
        <v>0</v>
      </c>
      <c r="K8" s="2" t="s">
        <v>33</v>
      </c>
    </row>
    <row r="9" spans="1:11" x14ac:dyDescent="0.25">
      <c r="A9" s="2" t="s">
        <v>36</v>
      </c>
      <c r="B9" s="2" t="s">
        <v>37</v>
      </c>
      <c r="C9" s="2" t="s">
        <v>24</v>
      </c>
      <c r="D9" s="2" t="s">
        <v>38</v>
      </c>
      <c r="E9" s="3">
        <v>46239</v>
      </c>
      <c r="F9" s="3">
        <v>46249</v>
      </c>
      <c r="G9" s="3">
        <v>46240</v>
      </c>
      <c r="H9" s="2"/>
      <c r="I9" s="2">
        <v>80</v>
      </c>
      <c r="J9" s="2">
        <v>70</v>
      </c>
      <c r="K9" s="2" t="s">
        <v>21</v>
      </c>
    </row>
    <row r="10" spans="1:11" x14ac:dyDescent="0.25">
      <c r="A10" s="2" t="s">
        <v>39</v>
      </c>
      <c r="B10" s="2" t="s">
        <v>40</v>
      </c>
      <c r="C10" s="2" t="s">
        <v>24</v>
      </c>
      <c r="D10" s="2" t="s">
        <v>41</v>
      </c>
      <c r="E10" s="3">
        <v>46241</v>
      </c>
      <c r="F10" s="3">
        <v>46251</v>
      </c>
      <c r="G10" s="3">
        <v>46242</v>
      </c>
      <c r="H10" s="2"/>
      <c r="I10" s="2">
        <v>70</v>
      </c>
      <c r="J10" s="2">
        <v>55</v>
      </c>
      <c r="K10" s="2" t="s">
        <v>21</v>
      </c>
    </row>
    <row r="11" spans="1:11" x14ac:dyDescent="0.25">
      <c r="A11" s="2" t="s">
        <v>42</v>
      </c>
      <c r="B11" s="2" t="s">
        <v>43</v>
      </c>
      <c r="C11" s="2" t="s">
        <v>44</v>
      </c>
      <c r="D11" s="2" t="s">
        <v>45</v>
      </c>
      <c r="E11" s="3">
        <v>46254</v>
      </c>
      <c r="F11" s="3">
        <v>46259</v>
      </c>
      <c r="G11" s="2"/>
      <c r="H11" s="2"/>
      <c r="I11" s="2">
        <v>0</v>
      </c>
      <c r="J11" s="2">
        <v>0</v>
      </c>
      <c r="K11" s="2" t="s">
        <v>33</v>
      </c>
    </row>
    <row r="12" spans="1:11" x14ac:dyDescent="0.25">
      <c r="A12" s="2" t="s">
        <v>46</v>
      </c>
      <c r="B12" s="2" t="s">
        <v>47</v>
      </c>
      <c r="C12" s="2" t="s">
        <v>44</v>
      </c>
      <c r="D12" s="2" t="s">
        <v>45</v>
      </c>
      <c r="E12" s="3">
        <v>46243</v>
      </c>
      <c r="F12" s="3">
        <v>46246</v>
      </c>
      <c r="G12" s="3">
        <v>46244</v>
      </c>
      <c r="H12" s="3">
        <v>46247</v>
      </c>
      <c r="I12" s="2">
        <v>100</v>
      </c>
      <c r="J12" s="2">
        <v>100</v>
      </c>
      <c r="K12" s="2" t="s">
        <v>13</v>
      </c>
    </row>
    <row r="13" spans="1:11" x14ac:dyDescent="0.25">
      <c r="A13" s="2" t="s">
        <v>48</v>
      </c>
      <c r="B13" s="2" t="s">
        <v>49</v>
      </c>
      <c r="C13" s="2" t="s">
        <v>44</v>
      </c>
      <c r="D13" s="2" t="s">
        <v>45</v>
      </c>
      <c r="E13" s="3">
        <v>46245</v>
      </c>
      <c r="F13" s="3">
        <v>46248</v>
      </c>
      <c r="G13" s="3">
        <v>46245</v>
      </c>
      <c r="H13" s="2"/>
      <c r="I13" s="2">
        <v>80</v>
      </c>
      <c r="J13" s="2">
        <v>65</v>
      </c>
      <c r="K13" s="2" t="s">
        <v>21</v>
      </c>
    </row>
    <row r="14" spans="1:11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3">
        <v>46248</v>
      </c>
      <c r="F14" s="3">
        <v>46256</v>
      </c>
      <c r="G14" s="2"/>
      <c r="H14" s="2"/>
      <c r="I14" s="2">
        <v>40</v>
      </c>
      <c r="J14" s="2">
        <v>0</v>
      </c>
      <c r="K14" s="2" t="s">
        <v>33</v>
      </c>
    </row>
    <row r="15" spans="1:11" x14ac:dyDescent="0.25">
      <c r="A15" s="2" t="s">
        <v>54</v>
      </c>
      <c r="B15" s="2" t="s">
        <v>55</v>
      </c>
      <c r="C15" s="2" t="s">
        <v>24</v>
      </c>
      <c r="D15" s="2" t="s">
        <v>56</v>
      </c>
      <c r="E15" s="3">
        <v>46250</v>
      </c>
      <c r="F15" s="3">
        <v>46262</v>
      </c>
      <c r="G15" s="2"/>
      <c r="H15" s="2"/>
      <c r="I15" s="2">
        <v>25</v>
      </c>
      <c r="J15" s="2">
        <v>0</v>
      </c>
      <c r="K15" s="2" t="s">
        <v>33</v>
      </c>
    </row>
    <row r="16" spans="1:11" x14ac:dyDescent="0.25">
      <c r="A16" s="2" t="s">
        <v>57</v>
      </c>
      <c r="B16" s="2" t="s">
        <v>58</v>
      </c>
      <c r="C16" s="2" t="s">
        <v>44</v>
      </c>
      <c r="D16" s="2" t="s">
        <v>45</v>
      </c>
      <c r="E16" s="3">
        <v>46251</v>
      </c>
      <c r="F16" s="3">
        <v>46254</v>
      </c>
      <c r="G16" s="2"/>
      <c r="H16" s="2"/>
      <c r="I16" s="2">
        <v>20</v>
      </c>
      <c r="J16" s="2">
        <v>0</v>
      </c>
      <c r="K16" s="2" t="s">
        <v>33</v>
      </c>
    </row>
    <row r="17" spans="1:11" x14ac:dyDescent="0.25">
      <c r="A17" s="2" t="s">
        <v>59</v>
      </c>
      <c r="B17" s="2" t="s">
        <v>60</v>
      </c>
      <c r="C17" s="2" t="s">
        <v>11</v>
      </c>
      <c r="D17" s="2" t="s">
        <v>12</v>
      </c>
      <c r="E17" s="3">
        <v>46236</v>
      </c>
      <c r="F17" s="3">
        <v>46246</v>
      </c>
      <c r="G17" s="3">
        <v>46237</v>
      </c>
      <c r="H17" s="2"/>
      <c r="I17" s="2">
        <v>100</v>
      </c>
      <c r="J17" s="2">
        <v>75</v>
      </c>
      <c r="K17" s="2" t="s">
        <v>16</v>
      </c>
    </row>
    <row r="18" spans="1:11" x14ac:dyDescent="0.25">
      <c r="A18" s="2" t="s">
        <v>61</v>
      </c>
      <c r="B18" s="2" t="s">
        <v>62</v>
      </c>
      <c r="C18" s="2" t="s">
        <v>11</v>
      </c>
      <c r="D18" s="2" t="s">
        <v>12</v>
      </c>
      <c r="E18" s="3">
        <v>46240</v>
      </c>
      <c r="F18" s="3">
        <v>46250</v>
      </c>
      <c r="G18" s="3">
        <v>46241</v>
      </c>
      <c r="H18" s="2"/>
      <c r="I18" s="2">
        <v>85</v>
      </c>
      <c r="J18" s="2">
        <v>60</v>
      </c>
      <c r="K18" s="2" t="s">
        <v>16</v>
      </c>
    </row>
    <row r="19" spans="1:11" x14ac:dyDescent="0.25">
      <c r="A19" s="2" t="s">
        <v>63</v>
      </c>
      <c r="B19" s="2" t="s">
        <v>64</v>
      </c>
      <c r="C19" s="2" t="s">
        <v>65</v>
      </c>
      <c r="D19" s="2" t="s">
        <v>66</v>
      </c>
      <c r="E19" s="3">
        <v>46247</v>
      </c>
      <c r="F19" s="3">
        <v>46258</v>
      </c>
      <c r="G19" s="3">
        <v>46248</v>
      </c>
      <c r="H19" s="2"/>
      <c r="I19" s="2">
        <v>35</v>
      </c>
      <c r="J19" s="2">
        <v>20</v>
      </c>
      <c r="K19" s="2" t="s">
        <v>21</v>
      </c>
    </row>
    <row r="20" spans="1:11" x14ac:dyDescent="0.25">
      <c r="A20" s="2" t="s">
        <v>67</v>
      </c>
      <c r="B20" s="2" t="s">
        <v>68</v>
      </c>
      <c r="C20" s="2" t="s">
        <v>65</v>
      </c>
      <c r="D20" s="2" t="s">
        <v>66</v>
      </c>
      <c r="E20" s="3">
        <v>46256</v>
      </c>
      <c r="F20" s="3">
        <v>46264</v>
      </c>
      <c r="G20" s="2"/>
      <c r="H20" s="2"/>
      <c r="I20" s="2">
        <v>5</v>
      </c>
      <c r="J20" s="2">
        <v>0</v>
      </c>
      <c r="K20" s="2" t="s">
        <v>33</v>
      </c>
    </row>
    <row r="21" spans="1:11" x14ac:dyDescent="0.25">
      <c r="A21" s="2" t="s">
        <v>69</v>
      </c>
      <c r="B21" s="2" t="s">
        <v>70</v>
      </c>
      <c r="C21" s="2" t="s">
        <v>71</v>
      </c>
      <c r="D21" s="2" t="s">
        <v>72</v>
      </c>
      <c r="E21" s="3">
        <v>46259</v>
      </c>
      <c r="F21" s="3">
        <v>46265</v>
      </c>
      <c r="G21" s="2"/>
      <c r="H21" s="2"/>
      <c r="I21" s="2">
        <v>0</v>
      </c>
      <c r="J21" s="2">
        <v>0</v>
      </c>
      <c r="K21" s="2" t="s">
        <v>33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D335-6BCA-4BF4-B9F6-DE2FFE0D23C9}">
  <dimension ref="A1:B8"/>
  <sheetViews>
    <sheetView tabSelected="1" workbookViewId="0">
      <selection activeCell="B12" sqref="B12"/>
    </sheetView>
  </sheetViews>
  <sheetFormatPr defaultRowHeight="15" x14ac:dyDescent="0.25"/>
  <cols>
    <col min="1" max="1" width="25" customWidth="1"/>
    <col min="2" max="2" width="106.140625" bestFit="1" customWidth="1"/>
  </cols>
  <sheetData>
    <row r="1" spans="1:2" ht="21" x14ac:dyDescent="0.35">
      <c r="A1" s="14" t="s">
        <v>95</v>
      </c>
    </row>
    <row r="3" spans="1:2" x14ac:dyDescent="0.25">
      <c r="A3" s="6" t="s">
        <v>96</v>
      </c>
      <c r="B3" t="s">
        <v>97</v>
      </c>
    </row>
    <row r="4" spans="1:2" x14ac:dyDescent="0.25">
      <c r="A4" s="6" t="s">
        <v>98</v>
      </c>
      <c r="B4" t="s">
        <v>99</v>
      </c>
    </row>
    <row r="5" spans="1:2" x14ac:dyDescent="0.25">
      <c r="A5" s="6" t="s">
        <v>100</v>
      </c>
      <c r="B5" t="s">
        <v>101</v>
      </c>
    </row>
    <row r="6" spans="1:2" x14ac:dyDescent="0.25">
      <c r="A6" s="6" t="s">
        <v>102</v>
      </c>
      <c r="B6" t="s">
        <v>103</v>
      </c>
    </row>
    <row r="7" spans="1:2" x14ac:dyDescent="0.25">
      <c r="A7" s="6" t="s">
        <v>104</v>
      </c>
      <c r="B7" t="s">
        <v>105</v>
      </c>
    </row>
    <row r="8" spans="1:2" x14ac:dyDescent="0.25">
      <c r="A8" s="6" t="s">
        <v>106</v>
      </c>
      <c r="B8" t="s">
        <v>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A61EA4-FDDB-4D96-A208-6D948D24D9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Pivot_Analysis</vt:lpstr>
      <vt:lpstr>Pivot_Status</vt:lpstr>
      <vt:lpstr>qry_ProjectProgress_Clean</vt:lpstr>
      <vt:lpstr>Dashboard</vt:lpstr>
      <vt:lpstr>Raw_Data</vt:lpstr>
      <vt:lpstr>Project_Summary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Jr. Manalon</dc:creator>
  <cp:lastModifiedBy>Jimmy Jr. Manalon</cp:lastModifiedBy>
  <dcterms:created xsi:type="dcterms:W3CDTF">2026-08-13T16:26:39Z</dcterms:created>
  <dcterms:modified xsi:type="dcterms:W3CDTF">2026-08-13T17:43:05Z</dcterms:modified>
</cp:coreProperties>
</file>